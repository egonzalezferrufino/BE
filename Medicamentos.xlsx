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onzalez\Desktop\"/>
    </mc:Choice>
  </mc:AlternateContent>
  <xr:revisionPtr revIDLastSave="0" documentId="13_ncr:1_{D0BC515F-DAF9-40AB-9F5D-FBE28B334A56}" xr6:coauthVersionLast="36" xr6:coauthVersionMax="36" xr10:uidLastSave="{00000000-0000-0000-0000-000000000000}"/>
  <bookViews>
    <workbookView xWindow="0" yWindow="0" windowWidth="25600" windowHeight="9507" xr2:uid="{20AF8212-8A27-464B-BABE-EC8F451F63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24" i="1" l="1"/>
  <c r="H23" i="1"/>
  <c r="H20" i="1"/>
  <c r="H19" i="1"/>
  <c r="H27" i="1" s="1"/>
  <c r="H28" i="1" s="1"/>
  <c r="F28" i="1"/>
  <c r="F27" i="1"/>
  <c r="G24" i="1"/>
  <c r="G23" i="1"/>
  <c r="G22" i="1"/>
  <c r="G21" i="1"/>
  <c r="G20" i="1"/>
  <c r="G19" i="1"/>
  <c r="G18" i="1"/>
  <c r="F12" i="1" l="1"/>
  <c r="F11" i="1"/>
  <c r="G8" i="1"/>
  <c r="G7" i="1"/>
  <c r="G6" i="1"/>
  <c r="G5" i="1"/>
  <c r="G4" i="1"/>
  <c r="H12" i="1" l="1"/>
  <c r="H11" i="1" l="1"/>
  <c r="I3" i="1" l="1"/>
  <c r="I2" i="1"/>
  <c r="G3" i="1"/>
  <c r="G2" i="1"/>
  <c r="J3" i="1"/>
  <c r="J2" i="1"/>
  <c r="C14" i="1" l="1"/>
  <c r="C16" i="1" s="1"/>
</calcChain>
</file>

<file path=xl/sharedStrings.xml><?xml version="1.0" encoding="utf-8"?>
<sst xmlns="http://schemas.openxmlformats.org/spreadsheetml/2006/main" count="29" uniqueCount="15">
  <si>
    <t>proforma</t>
  </si>
  <si>
    <t>total</t>
  </si>
  <si>
    <t>CANTIDAD</t>
  </si>
  <si>
    <t>TOTAL MEDCO</t>
  </si>
  <si>
    <t>TOTAL KIELSA</t>
  </si>
  <si>
    <t>UNIDADES</t>
  </si>
  <si>
    <t>PRECIO/UNID</t>
  </si>
  <si>
    <t>DIGESTOMEN</t>
  </si>
  <si>
    <t>COLIPAX</t>
  </si>
  <si>
    <t>MAGNUM</t>
  </si>
  <si>
    <t>DALIVIO</t>
  </si>
  <si>
    <t>GAPANCEL</t>
  </si>
  <si>
    <t>NUCLEO CMP</t>
  </si>
  <si>
    <t>OMEGA3</t>
  </si>
  <si>
    <t>TOTAL A PEDIR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</si>
</sst>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8978-86BA-452E-9A70-C2BE301E009C}">
  <dimension ref="A1:K28"/>
  <sheetViews>
    <sheetView tabSelected="1" topLeftCell="A7" workbookViewId="0">
      <selection activeCell="E19" sqref="E19"/>
    </sheetView>
  </sheetViews>
  <sheetFormatPr baseColWidth="10" defaultRowHeight="14.35" x14ac:dyDescent="0.5"/>
  <cols>
    <col min="1" max="1" width="14.8203125" bestFit="1" customWidth="1"/>
    <col min="2" max="3" width="0" hidden="1" customWidth="1"/>
    <col min="6" max="6" width="12.41015625" bestFit="1" customWidth="1"/>
    <col min="7" max="9" width="12.41015625" customWidth="1"/>
  </cols>
  <sheetData>
    <row r="1" spans="1:11" x14ac:dyDescent="0.5">
      <c r="B1" t="s">
        <v>0</v>
      </c>
      <c r="C1" t="s">
        <v>1</v>
      </c>
      <c r="D1" t="s">
        <v>5</v>
      </c>
      <c r="E1" t="s">
        <v>2</v>
      </c>
      <c r="F1" t="s">
        <v>3</v>
      </c>
      <c r="G1" t="s">
        <v>6</v>
      </c>
      <c r="H1" t="s">
        <v>4</v>
      </c>
      <c r="I1" t="s">
        <v>6</v>
      </c>
    </row>
    <row r="2" spans="1:11" x14ac:dyDescent="0.5">
      <c r="A2" t="s">
        <v>7</v>
      </c>
      <c r="B2">
        <v>30</v>
      </c>
      <c r="C2">
        <v>143.41</v>
      </c>
      <c r="D2">
        <v>90</v>
      </c>
      <c r="E2">
        <v>90</v>
      </c>
      <c r="F2" s="1">
        <v>1364.32</v>
      </c>
      <c r="G2" s="1">
        <f>+F2/D2</f>
        <v>15.159111111111111</v>
      </c>
      <c r="H2" s="1">
        <v>166.17</v>
      </c>
      <c r="I2" s="1">
        <f>+H2/D2</f>
        <v>1.8463333333333332</v>
      </c>
      <c r="J2" s="1">
        <f>+H2-F2</f>
        <v>-1198.1499999999999</v>
      </c>
      <c r="K2" s="1"/>
    </row>
    <row r="3" spans="1:11" x14ac:dyDescent="0.5">
      <c r="A3" t="s">
        <v>8</v>
      </c>
      <c r="B3">
        <v>10</v>
      </c>
      <c r="C3">
        <v>631.96</v>
      </c>
      <c r="D3">
        <v>60</v>
      </c>
      <c r="E3">
        <v>60</v>
      </c>
      <c r="F3" s="1">
        <v>600</v>
      </c>
      <c r="G3" s="1">
        <f t="shared" ref="G3:G8" si="0">+F3/D3</f>
        <v>10</v>
      </c>
      <c r="H3" s="1">
        <v>335.74</v>
      </c>
      <c r="I3" s="1">
        <f t="shared" ref="I3" si="1">+H3/D3</f>
        <v>5.5956666666666672</v>
      </c>
      <c r="J3" s="1">
        <f t="shared" ref="J3" si="2">+H3-F3</f>
        <v>-264.26</v>
      </c>
      <c r="K3" s="1"/>
    </row>
    <row r="4" spans="1:11" x14ac:dyDescent="0.5">
      <c r="A4" t="s">
        <v>9</v>
      </c>
      <c r="D4">
        <v>1</v>
      </c>
      <c r="E4">
        <v>1</v>
      </c>
      <c r="F4" s="1">
        <v>124.52</v>
      </c>
      <c r="G4" s="1">
        <f t="shared" si="0"/>
        <v>124.52</v>
      </c>
      <c r="H4" s="1">
        <v>46.62</v>
      </c>
      <c r="I4" s="1"/>
      <c r="J4" s="1"/>
      <c r="K4" s="1"/>
    </row>
    <row r="5" spans="1:11" x14ac:dyDescent="0.5">
      <c r="A5" t="s">
        <v>10</v>
      </c>
      <c r="D5">
        <v>30</v>
      </c>
      <c r="E5">
        <v>30</v>
      </c>
      <c r="F5" s="1">
        <v>2249.9899999999998</v>
      </c>
      <c r="G5" s="1">
        <f t="shared" si="0"/>
        <v>74.999666666666656</v>
      </c>
      <c r="H5" s="1"/>
      <c r="I5" s="1"/>
      <c r="J5" s="1"/>
      <c r="K5" s="1"/>
    </row>
    <row r="6" spans="1:11" x14ac:dyDescent="0.5">
      <c r="A6" t="s">
        <v>11</v>
      </c>
      <c r="D6">
        <v>30</v>
      </c>
      <c r="E6">
        <v>30</v>
      </c>
      <c r="F6" s="1">
        <v>482.04</v>
      </c>
      <c r="G6" s="1">
        <f t="shared" si="0"/>
        <v>16.068000000000001</v>
      </c>
      <c r="H6" s="1"/>
      <c r="I6" s="1"/>
      <c r="J6" s="1"/>
      <c r="K6" s="1"/>
    </row>
    <row r="7" spans="1:11" x14ac:dyDescent="0.5">
      <c r="A7" t="s">
        <v>12</v>
      </c>
      <c r="D7">
        <v>60</v>
      </c>
      <c r="E7">
        <v>60</v>
      </c>
      <c r="F7" s="1">
        <v>745.34</v>
      </c>
      <c r="G7" s="1">
        <f t="shared" si="0"/>
        <v>12.422333333333334</v>
      </c>
      <c r="H7" s="1"/>
      <c r="I7" s="1"/>
      <c r="J7" s="1"/>
      <c r="K7" s="1"/>
    </row>
    <row r="8" spans="1:11" x14ac:dyDescent="0.5">
      <c r="A8" t="s">
        <v>13</v>
      </c>
      <c r="D8">
        <v>28</v>
      </c>
      <c r="E8">
        <v>28</v>
      </c>
      <c r="F8" s="1">
        <v>629.99</v>
      </c>
      <c r="G8" s="1">
        <f t="shared" si="0"/>
        <v>22.499642857142856</v>
      </c>
      <c r="H8" s="1"/>
      <c r="I8" s="1"/>
      <c r="J8" s="1"/>
      <c r="K8" s="1"/>
    </row>
    <row r="9" spans="1:11" x14ac:dyDescent="0.5">
      <c r="F9" s="1"/>
      <c r="G9" s="1"/>
      <c r="H9" s="1"/>
      <c r="I9" s="1"/>
      <c r="J9" s="1"/>
      <c r="K9" s="1"/>
    </row>
    <row r="10" spans="1:11" x14ac:dyDescent="0.5">
      <c r="F10" s="1"/>
      <c r="G10" s="1"/>
      <c r="H10" s="1"/>
      <c r="I10" s="1"/>
      <c r="J10" s="1"/>
      <c r="K10" s="1"/>
    </row>
    <row r="11" spans="1:11" x14ac:dyDescent="0.5">
      <c r="F11" s="1">
        <f>SUM(F2:F8)</f>
        <v>6196.2</v>
      </c>
      <c r="H11" s="1">
        <f>SUM(H2:H4)</f>
        <v>548.53</v>
      </c>
      <c r="I11" s="1"/>
      <c r="J11" s="1"/>
      <c r="K11" s="1"/>
    </row>
    <row r="12" spans="1:11" x14ac:dyDescent="0.5">
      <c r="E12" s="2">
        <v>0.2</v>
      </c>
      <c r="F12" s="1">
        <f>+F11*0.2</f>
        <v>1239.24</v>
      </c>
      <c r="G12" s="2">
        <v>0.2</v>
      </c>
      <c r="H12" s="1">
        <f>+H11*0.2</f>
        <v>109.706</v>
      </c>
      <c r="I12" s="1"/>
      <c r="J12" s="1"/>
      <c r="K12" s="1"/>
    </row>
    <row r="13" spans="1:11" x14ac:dyDescent="0.5">
      <c r="F13" s="1"/>
      <c r="G13" s="1"/>
      <c r="H13" s="1"/>
      <c r="I13" s="1"/>
      <c r="J13" s="1"/>
      <c r="K13" s="1"/>
    </row>
    <row r="14" spans="1:11" x14ac:dyDescent="0.5">
      <c r="C14">
        <f>SUM(C2:C13)</f>
        <v>775.37</v>
      </c>
    </row>
    <row r="16" spans="1:11" x14ac:dyDescent="0.5">
      <c r="C16">
        <f>+C14*0.2</f>
        <v>155.07400000000001</v>
      </c>
    </row>
    <row r="17" spans="1:10" x14ac:dyDescent="0.5">
      <c r="B17" t="s">
        <v>0</v>
      </c>
      <c r="C17" t="s">
        <v>1</v>
      </c>
      <c r="D17" t="s">
        <v>5</v>
      </c>
      <c r="E17" t="s">
        <v>2</v>
      </c>
      <c r="F17" t="s">
        <v>3</v>
      </c>
      <c r="G17" t="s">
        <v>6</v>
      </c>
      <c r="H17" t="s">
        <v>14</v>
      </c>
    </row>
    <row r="18" spans="1:10" x14ac:dyDescent="0.5">
      <c r="A18" t="s">
        <v>7</v>
      </c>
      <c r="B18">
        <v>30</v>
      </c>
      <c r="C18">
        <v>143.41</v>
      </c>
      <c r="D18">
        <v>90</v>
      </c>
      <c r="E18">
        <v>30</v>
      </c>
      <c r="F18" s="1">
        <v>1364.32</v>
      </c>
      <c r="G18" s="1">
        <f>+F18/D18</f>
        <v>15.159111111111111</v>
      </c>
      <c r="H18" s="1">
        <f>+G18*E18</f>
        <v>454.77333333333331</v>
      </c>
      <c r="I18" s="1"/>
      <c r="J18" s="1"/>
    </row>
    <row r="19" spans="1:10" x14ac:dyDescent="0.5">
      <c r="A19" t="s">
        <v>8</v>
      </c>
      <c r="B19">
        <v>10</v>
      </c>
      <c r="C19">
        <v>631.96</v>
      </c>
      <c r="D19">
        <v>60</v>
      </c>
      <c r="E19">
        <v>40</v>
      </c>
      <c r="F19" s="1">
        <v>600</v>
      </c>
      <c r="G19" s="1">
        <f t="shared" ref="G19:G24" si="3">+F19/D19</f>
        <v>10</v>
      </c>
      <c r="H19" s="1">
        <f>+G19*E19</f>
        <v>400</v>
      </c>
      <c r="I19" s="1"/>
      <c r="J19" s="1"/>
    </row>
    <row r="20" spans="1:10" x14ac:dyDescent="0.5">
      <c r="A20" t="s">
        <v>9</v>
      </c>
      <c r="D20">
        <v>1</v>
      </c>
      <c r="E20">
        <v>1</v>
      </c>
      <c r="F20" s="1">
        <v>124.52</v>
      </c>
      <c r="G20" s="1">
        <f t="shared" si="3"/>
        <v>124.52</v>
      </c>
      <c r="H20" s="1">
        <f>+G20*E20</f>
        <v>124.52</v>
      </c>
      <c r="I20" s="1"/>
      <c r="J20" s="1"/>
    </row>
    <row r="21" spans="1:10" x14ac:dyDescent="0.5">
      <c r="A21" t="s">
        <v>10</v>
      </c>
      <c r="D21">
        <v>30</v>
      </c>
      <c r="E21">
        <v>30</v>
      </c>
      <c r="F21" s="1">
        <v>2249.9899999999998</v>
      </c>
      <c r="G21" s="1">
        <f t="shared" si="3"/>
        <v>74.999666666666656</v>
      </c>
      <c r="H21" s="1"/>
      <c r="I21" s="1"/>
      <c r="J21" s="1"/>
    </row>
    <row r="22" spans="1:10" x14ac:dyDescent="0.5">
      <c r="A22" t="s">
        <v>11</v>
      </c>
      <c r="D22">
        <v>30</v>
      </c>
      <c r="E22">
        <v>30</v>
      </c>
      <c r="F22" s="1">
        <v>482.04</v>
      </c>
      <c r="G22" s="1">
        <f t="shared" si="3"/>
        <v>16.068000000000001</v>
      </c>
      <c r="H22" s="1"/>
      <c r="I22" s="1"/>
      <c r="J22" s="1"/>
    </row>
    <row r="23" spans="1:10" x14ac:dyDescent="0.5">
      <c r="A23" t="s">
        <v>12</v>
      </c>
      <c r="D23">
        <v>60</v>
      </c>
      <c r="E23">
        <v>30</v>
      </c>
      <c r="F23" s="1">
        <v>745.34</v>
      </c>
      <c r="G23" s="1">
        <f t="shared" si="3"/>
        <v>12.422333333333334</v>
      </c>
      <c r="H23" s="1">
        <f>+G23*E23</f>
        <v>372.67</v>
      </c>
      <c r="I23" s="1"/>
      <c r="J23" s="1"/>
    </row>
    <row r="24" spans="1:10" x14ac:dyDescent="0.5">
      <c r="A24" t="s">
        <v>13</v>
      </c>
      <c r="D24">
        <v>28</v>
      </c>
      <c r="E24">
        <v>28</v>
      </c>
      <c r="F24" s="1">
        <v>629.99</v>
      </c>
      <c r="G24" s="1">
        <f t="shared" si="3"/>
        <v>22.499642857142856</v>
      </c>
      <c r="H24" s="1">
        <f>+G24*E24</f>
        <v>629.99</v>
      </c>
      <c r="I24" s="1"/>
      <c r="J24" s="1"/>
    </row>
    <row r="25" spans="1:10" x14ac:dyDescent="0.5">
      <c r="F25" s="1"/>
      <c r="G25" s="1"/>
      <c r="H25" s="1"/>
      <c r="I25" s="1"/>
      <c r="J25" s="1"/>
    </row>
    <row r="26" spans="1:10" x14ac:dyDescent="0.5">
      <c r="F26" s="1"/>
      <c r="G26" s="1"/>
      <c r="H26" s="1"/>
      <c r="I26" s="1"/>
      <c r="J26" s="1"/>
    </row>
    <row r="27" spans="1:10" x14ac:dyDescent="0.5">
      <c r="F27" s="1">
        <f>SUM(F18:F24)</f>
        <v>6196.2</v>
      </c>
      <c r="H27" s="1">
        <f>SUM(H18:H24)</f>
        <v>1981.9533333333334</v>
      </c>
      <c r="I27" s="1"/>
      <c r="J27" s="1"/>
    </row>
    <row r="28" spans="1:10" x14ac:dyDescent="0.5">
      <c r="E28" s="2">
        <v>0.2</v>
      </c>
      <c r="F28" s="1">
        <f>+F27*0.2</f>
        <v>1239.24</v>
      </c>
      <c r="G28" s="2">
        <v>0.2</v>
      </c>
      <c r="H28" s="1">
        <f>+H27*0.2</f>
        <v>396.39066666666668</v>
      </c>
      <c r="I28" s="1"/>
      <c r="J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González Ferrufino, Edgard Antonio</dc:creator>
  <cp:lastModifiedBy>González Ferrufino, Edgard Antonio</cp:lastModifiedBy>
  <dcterms:created xsi:type="dcterms:W3CDTF">2025-04-22T21:07:11Z</dcterms:created>
  <dcterms:modified xsi:type="dcterms:W3CDTF">2026-01-09T21:28:54Z</dcterms:modified>
</cp:coreProperties>
</file>